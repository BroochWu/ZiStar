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9" i="1" l="1"/>
  <c r="B14" i="1" l="1"/>
  <c r="B15" i="1" l="1"/>
  <c r="B12" i="1" l="1"/>
  <c r="B13" i="1" l="1"/>
  <c r="B11" i="1"/>
  <c r="B10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<sst xmlns="http://schemas.openxmlformats.org/spreadsheetml/2006/main" count="92" uniqueCount="86">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</sst>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abSelected="1" topLeftCell="B1" workbookViewId="0">
      <selection activeCell="C16" sqref="C16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 t="shared" ref="B5:B16" si="0">"Tb"&amp;C5</f>
        <v>Tbweapon.Weapon</v>
      </c>
      <c r="C5" s="3" t="s">
        <v>31</v>
      </c>
      <c r="D5" s="1" t="s">
        <v>58</v>
      </c>
      <c r="E5" t="b">
        <v>1</v>
      </c>
      <c r="F5" s="3" t="s">
        <v>32</v>
      </c>
      <c r="H5" s="1" t="s">
        <v>33</v>
      </c>
      <c r="K5" t="s">
        <v>34</v>
      </c>
    </row>
    <row r="6" spans="1:11" x14ac:dyDescent="0.2">
      <c r="B6" s="2" t="str">
        <f t="shared" si="0"/>
        <v>Tbweapon.WeaponLevel</v>
      </c>
      <c r="C6" s="3" t="s">
        <v>35</v>
      </c>
      <c r="D6" s="1" t="s">
        <v>59</v>
      </c>
      <c r="E6" t="b">
        <v>1</v>
      </c>
      <c r="F6" s="3" t="s">
        <v>36</v>
      </c>
      <c r="G6" t="s">
        <v>37</v>
      </c>
      <c r="H6" s="1" t="s">
        <v>38</v>
      </c>
      <c r="K6" t="s">
        <v>39</v>
      </c>
    </row>
    <row r="7" spans="1:11" x14ac:dyDescent="0.2">
      <c r="B7" s="2" t="str">
        <f t="shared" si="0"/>
        <v>Tbdungeon.Dungeon</v>
      </c>
      <c r="C7" s="3" t="s">
        <v>40</v>
      </c>
      <c r="D7" s="1" t="s">
        <v>60</v>
      </c>
      <c r="E7" t="b">
        <v>1</v>
      </c>
      <c r="F7" s="3" t="s">
        <v>41</v>
      </c>
      <c r="H7" s="1" t="s">
        <v>33</v>
      </c>
      <c r="K7" t="s">
        <v>42</v>
      </c>
    </row>
    <row r="8" spans="1:11" x14ac:dyDescent="0.2">
      <c r="B8" s="2" t="str">
        <f t="shared" si="0"/>
        <v>Tbdungeon.DungeonWave</v>
      </c>
      <c r="C8" s="3" t="s">
        <v>43</v>
      </c>
      <c r="D8" s="1" t="s">
        <v>61</v>
      </c>
      <c r="E8" t="b">
        <v>1</v>
      </c>
      <c r="F8" s="3" t="s">
        <v>44</v>
      </c>
      <c r="H8" s="1" t="s">
        <v>33</v>
      </c>
      <c r="K8" t="s">
        <v>45</v>
      </c>
    </row>
    <row r="9" spans="1:11" x14ac:dyDescent="0.2">
      <c r="B9" s="2" t="str">
        <f>"Tb"&amp;C9</f>
        <v>Tbdungeon.DungeonExp</v>
      </c>
      <c r="C9" s="4" t="s">
        <v>80</v>
      </c>
      <c r="D9" s="1" t="s">
        <v>79</v>
      </c>
      <c r="E9" t="b">
        <v>1</v>
      </c>
      <c r="F9" s="4" t="s">
        <v>78</v>
      </c>
      <c r="H9" s="1"/>
      <c r="K9" t="s">
        <v>81</v>
      </c>
    </row>
    <row r="10" spans="1:11" x14ac:dyDescent="0.2">
      <c r="B10" s="2" t="str">
        <f t="shared" si="0"/>
        <v>Tbenemy.Enemy</v>
      </c>
      <c r="C10" s="3" t="s">
        <v>46</v>
      </c>
      <c r="D10" s="1" t="s">
        <v>62</v>
      </c>
      <c r="E10" t="b">
        <v>1</v>
      </c>
      <c r="F10" s="3" t="s">
        <v>47</v>
      </c>
      <c r="H10" s="1" t="s">
        <v>33</v>
      </c>
      <c r="K10" t="s">
        <v>48</v>
      </c>
    </row>
    <row r="11" spans="1:11" x14ac:dyDescent="0.2">
      <c r="B11" s="2" t="str">
        <f t="shared" si="0"/>
        <v>Tbenemy.EnemyLevel</v>
      </c>
      <c r="C11" s="3" t="s">
        <v>49</v>
      </c>
      <c r="D11" s="1" t="s">
        <v>63</v>
      </c>
      <c r="E11" t="b">
        <v>1</v>
      </c>
      <c r="F11" s="3" t="s">
        <v>50</v>
      </c>
      <c r="G11" t="s">
        <v>37</v>
      </c>
      <c r="H11" s="1" t="s">
        <v>38</v>
      </c>
      <c r="K11" t="s">
        <v>51</v>
      </c>
    </row>
    <row r="12" spans="1:11" x14ac:dyDescent="0.2">
      <c r="B12" s="2" t="str">
        <f>"Tb"&amp;C12</f>
        <v>Tbenemy.EnemyTypeIndex</v>
      </c>
      <c r="C12" s="4" t="s">
        <v>66</v>
      </c>
      <c r="D12" s="1" t="s">
        <v>65</v>
      </c>
      <c r="E12" t="b">
        <v>1</v>
      </c>
      <c r="F12" s="4" t="s">
        <v>67</v>
      </c>
      <c r="H12" s="1" t="s">
        <v>56</v>
      </c>
      <c r="K12" s="4" t="s">
        <v>68</v>
      </c>
    </row>
    <row r="13" spans="1:11" x14ac:dyDescent="0.2">
      <c r="B13" s="2" t="str">
        <f t="shared" si="0"/>
        <v>Tbplayer.PlayerAttrLevel</v>
      </c>
      <c r="C13" s="3" t="s">
        <v>53</v>
      </c>
      <c r="D13" s="1" t="s">
        <v>64</v>
      </c>
      <c r="E13" t="b">
        <v>1</v>
      </c>
      <c r="F13" s="4" t="s">
        <v>52</v>
      </c>
      <c r="H13" s="1" t="s">
        <v>54</v>
      </c>
      <c r="K13" s="4" t="s">
        <v>55</v>
      </c>
    </row>
    <row r="14" spans="1:11" x14ac:dyDescent="0.2">
      <c r="B14" s="2" t="str">
        <f>"Tb"&amp;C14</f>
        <v>Tbplayer.PlayerData</v>
      </c>
      <c r="C14" s="4" t="s">
        <v>77</v>
      </c>
      <c r="D14" s="1" t="s">
        <v>76</v>
      </c>
      <c r="E14" t="b">
        <v>1</v>
      </c>
      <c r="F14" s="4" t="s">
        <v>75</v>
      </c>
      <c r="H14" s="1"/>
      <c r="K14" t="s">
        <v>74</v>
      </c>
    </row>
    <row r="15" spans="1:11" x14ac:dyDescent="0.2">
      <c r="B15" s="2" t="str">
        <f t="shared" si="0"/>
        <v>Tbitem.Item</v>
      </c>
      <c r="C15" s="3" t="s">
        <v>69</v>
      </c>
      <c r="D15" s="1" t="s">
        <v>70</v>
      </c>
      <c r="E15" t="b">
        <v>1</v>
      </c>
      <c r="F15" s="4" t="s">
        <v>71</v>
      </c>
      <c r="H15" s="1" t="s">
        <v>72</v>
      </c>
      <c r="K15" s="4" t="s">
        <v>73</v>
      </c>
    </row>
    <row r="16" spans="1:11" x14ac:dyDescent="0.2">
      <c r="B16" s="2" t="str">
        <f t="shared" si="0"/>
        <v>Tbcard.Card</v>
      </c>
      <c r="C16" s="3" t="s">
        <v>85</v>
      </c>
      <c r="D16" s="1" t="s">
        <v>84</v>
      </c>
      <c r="E16" t="b">
        <v>1</v>
      </c>
      <c r="F16" s="4" t="s">
        <v>83</v>
      </c>
      <c r="H16" s="1"/>
      <c r="K16" t="s">
        <v>82</v>
      </c>
    </row>
    <row r="17" spans="2:8" x14ac:dyDescent="0.2">
      <c r="B17" s="2"/>
      <c r="C17" s="3"/>
      <c r="F17" s="3"/>
      <c r="H17" s="1"/>
    </row>
    <row r="18" spans="2:8" x14ac:dyDescent="0.2">
      <c r="B18" s="2"/>
      <c r="C18" s="3"/>
      <c r="F18" s="3"/>
      <c r="H18" s="1"/>
    </row>
    <row r="19" spans="2:8" x14ac:dyDescent="0.2">
      <c r="B19" s="2"/>
      <c r="C19" s="3"/>
      <c r="F19" s="3"/>
      <c r="H19" s="1"/>
    </row>
    <row r="20" spans="2:8" x14ac:dyDescent="0.2">
      <c r="B20" s="2"/>
      <c r="C20" s="3"/>
      <c r="F20" s="3"/>
      <c r="H20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2025-07-14T09:41:01Z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